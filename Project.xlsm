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los\Desktop\Projet Milos ISSAM 13-10\Projet_Milos_Issam 13-10\"/>
    </mc:Choice>
  </mc:AlternateContent>
  <xr:revisionPtr revIDLastSave="0" documentId="13_ncr:1_{5C65E915-328A-46AE-BFFD-0E8CAD42DABC}" xr6:coauthVersionLast="47" xr6:coauthVersionMax="47" xr10:uidLastSave="{00000000-0000-0000-0000-000000000000}"/>
  <bookViews>
    <workbookView xWindow="15" yWindow="16080" windowWidth="29040" windowHeight="15720" activeTab="1" xr2:uid="{E1D8A5D7-8FB4-483A-ABDA-0B6F33DC7B26}"/>
  </bookViews>
  <sheets>
    <sheet name="Pricer" sheetId="1" r:id="rId1"/>
    <sheet name="Arbre" sheetId="5" r:id="rId2"/>
    <sheet name="Proba" sheetId="7" r:id="rId3"/>
    <sheet name="VBA_Arbre" sheetId="6" r:id="rId4"/>
  </sheets>
  <functionGroups builtInGroupCount="19">
    <functionGroup name="xlwings"/>
  </functionGroups>
  <definedNames>
    <definedName name="_xleta.EXP" hidden="1" xlm="1">#NAME?</definedName>
    <definedName name="Divamount">Pricer!$I$11</definedName>
    <definedName name="divDate">Pricer!$I$12</definedName>
    <definedName name="EU_US">Pricer!$M$9</definedName>
    <definedName name="IntRate">Pricer!$I$9</definedName>
    <definedName name="Mat">Pricer!$M$7</definedName>
    <definedName name="OptType">Pricer!$M$8</definedName>
    <definedName name="Pr_Date">Pricer!$I$7</definedName>
    <definedName name="St">Pricer!$I$8</definedName>
    <definedName name="Steps">Pricer!$Q$7</definedName>
    <definedName name="Strike">Pricer!$M$10</definedName>
    <definedName name="Vol">Pricer!$I$10</definedName>
  </definedNames>
  <calcPr calcId="191029"/>
  <extLst>
    <ext xmlns:x14="http://schemas.microsoft.com/office/spreadsheetml/2009/9/main" uri="{8193D73E-4604-4355-AFF4-8A2333D13BE4}">
      <x14:definedNames>
        <x14:definedName name="OptionPricerPyRec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" l="1"/>
  <c r="E21" i="1" a="1"/>
  <c r="E21" i="1" l="1"/>
  <c r="F21" i="1" s="1"/>
  <c r="D22" i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R21" i="1"/>
  <c r="R18" i="1"/>
  <c r="E33" i="1" a="1"/>
  <c r="E39" i="1" a="1"/>
  <c r="E34" i="1" a="1"/>
  <c r="E28" i="1" a="1"/>
  <c r="E32" i="1" a="1"/>
  <c r="E40" i="1" a="1"/>
  <c r="E38" i="1" a="1"/>
  <c r="E22" i="1" a="1"/>
  <c r="E37" i="1" a="1"/>
  <c r="E27" i="1" a="1"/>
  <c r="E25" i="1" a="1"/>
  <c r="E30" i="1" a="1"/>
  <c r="E29" i="1" a="1"/>
  <c r="E35" i="1" a="1"/>
  <c r="E26" i="1" a="1"/>
  <c r="E31" i="1" a="1"/>
  <c r="E41" i="1" a="1"/>
  <c r="E24" i="1" a="1"/>
  <c r="E36" i="1" a="1"/>
  <c r="E23" i="1" a="1"/>
  <c r="G21" i="1" l="1"/>
  <c r="E22" i="1"/>
  <c r="F22" i="1" s="1"/>
  <c r="G22" i="1" s="1"/>
  <c r="E41" i="1"/>
  <c r="F41" i="1" s="1"/>
  <c r="G41" i="1" s="1"/>
  <c r="E38" i="1"/>
  <c r="F38" i="1" s="1"/>
  <c r="G38" i="1" s="1"/>
  <c r="E39" i="1"/>
  <c r="F39" i="1" s="1"/>
  <c r="G39" i="1" s="1"/>
  <c r="E40" i="1"/>
  <c r="F40" i="1" s="1"/>
  <c r="G40" i="1" s="1"/>
  <c r="E37" i="1"/>
  <c r="F37" i="1" s="1"/>
  <c r="G37" i="1" s="1"/>
  <c r="E36" i="1"/>
  <c r="F36" i="1" s="1"/>
  <c r="G36" i="1" s="1"/>
  <c r="E28" i="1"/>
  <c r="F28" i="1" s="1"/>
  <c r="G28" i="1" s="1"/>
  <c r="E35" i="1"/>
  <c r="F35" i="1" s="1"/>
  <c r="G35" i="1" s="1"/>
  <c r="E27" i="1"/>
  <c r="F27" i="1" s="1"/>
  <c r="G27" i="1" s="1"/>
  <c r="E34" i="1"/>
  <c r="F34" i="1" s="1"/>
  <c r="G34" i="1" s="1"/>
  <c r="E26" i="1"/>
  <c r="F26" i="1" s="1"/>
  <c r="G26" i="1" s="1"/>
  <c r="E33" i="1"/>
  <c r="F33" i="1" s="1"/>
  <c r="G33" i="1" s="1"/>
  <c r="E25" i="1"/>
  <c r="F25" i="1" s="1"/>
  <c r="G25" i="1" s="1"/>
  <c r="E32" i="1"/>
  <c r="F32" i="1" s="1"/>
  <c r="G32" i="1" s="1"/>
  <c r="E24" i="1"/>
  <c r="F24" i="1" s="1"/>
  <c r="G24" i="1" s="1"/>
  <c r="E31" i="1"/>
  <c r="F31" i="1" s="1"/>
  <c r="G31" i="1" s="1"/>
  <c r="E23" i="1"/>
  <c r="F23" i="1" s="1"/>
  <c r="G23" i="1" s="1"/>
  <c r="E30" i="1"/>
  <c r="F30" i="1" s="1"/>
  <c r="G30" i="1" s="1"/>
  <c r="E29" i="1"/>
  <c r="F29" i="1" s="1"/>
  <c r="G2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<sst xmlns="http://schemas.openxmlformats.org/spreadsheetml/2006/main" count="35" uniqueCount="33">
  <si>
    <t xml:space="preserve">Start date </t>
  </si>
  <si>
    <t>Start price</t>
  </si>
  <si>
    <t>Market</t>
  </si>
  <si>
    <t>Interest rate</t>
  </si>
  <si>
    <t>Volatility</t>
  </si>
  <si>
    <t>Dividend</t>
  </si>
  <si>
    <t>Maturity</t>
  </si>
  <si>
    <t>Type</t>
  </si>
  <si>
    <t>Call</t>
  </si>
  <si>
    <t>Exercice</t>
  </si>
  <si>
    <t>EU</t>
  </si>
  <si>
    <t>Strike</t>
  </si>
  <si>
    <t>Nb steps</t>
  </si>
  <si>
    <t>None</t>
  </si>
  <si>
    <t>Put</t>
  </si>
  <si>
    <t>All</t>
  </si>
  <si>
    <t>Affichage</t>
  </si>
  <si>
    <t>Input</t>
  </si>
  <si>
    <t>Option Pricer Python vs VBA</t>
  </si>
  <si>
    <t>Trinomial Tree</t>
  </si>
  <si>
    <t>Contract</t>
  </si>
  <si>
    <t>BS Price</t>
  </si>
  <si>
    <t>Python Price</t>
  </si>
  <si>
    <t>Price</t>
  </si>
  <si>
    <t>Error python</t>
  </si>
  <si>
    <t>Run time Tree (s)</t>
  </si>
  <si>
    <t>Run time Pricing (s)</t>
  </si>
  <si>
    <t>Run time Total (s)</t>
  </si>
  <si>
    <t>VBA Price</t>
  </si>
  <si>
    <t>VBA Time</t>
  </si>
  <si>
    <t>Output</t>
  </si>
  <si>
    <t>Div ex-date</t>
  </si>
  <si>
    <t xml:space="preserve">Python recursive price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</si>
</sst>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d\-mmm\-yy;@"/>
    <numFmt numFmtId="165" formatCode="0.0000000"/>
    <numFmt numFmtId="166" formatCode="0.00000000"/>
  </numFmts>
  <fonts count="8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9.9978637043366805E-2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0" fontId="1" fillId="0" borderId="0" xfId="1" applyBorder="1"/>
    <xf numFmtId="164" fontId="0" fillId="0" borderId="5" xfId="0" applyNumberFormat="1" applyBorder="1"/>
    <xf numFmtId="0" fontId="0" fillId="0" borderId="5" xfId="0" applyBorder="1"/>
    <xf numFmtId="9" fontId="0" fillId="0" borderId="5" xfId="0" applyNumberFormat="1" applyBorder="1"/>
    <xf numFmtId="0" fontId="4" fillId="2" borderId="5" xfId="0" applyFont="1" applyFill="1" applyBorder="1"/>
    <xf numFmtId="0" fontId="5" fillId="0" borderId="0" xfId="0" applyFont="1"/>
    <xf numFmtId="9" fontId="0" fillId="0" borderId="9" xfId="0" applyNumberFormat="1" applyBorder="1"/>
    <xf numFmtId="15" fontId="0" fillId="0" borderId="7" xfId="0" applyNumberFormat="1" applyBorder="1"/>
    <xf numFmtId="0" fontId="0" fillId="0" borderId="7" xfId="0" applyBorder="1"/>
    <xf numFmtId="0" fontId="0" fillId="0" borderId="3" xfId="0" applyBorder="1"/>
    <xf numFmtId="0" fontId="0" fillId="0" borderId="6" xfId="0" applyBorder="1"/>
    <xf numFmtId="0" fontId="6" fillId="0" borderId="6" xfId="0" applyFont="1" applyBorder="1"/>
    <xf numFmtId="0" fontId="0" fillId="0" borderId="11" xfId="0" applyBorder="1"/>
    <xf numFmtId="0" fontId="0" fillId="0" borderId="8" xfId="0" applyBorder="1"/>
    <xf numFmtId="165" fontId="7" fillId="0" borderId="11" xfId="0" applyNumberFormat="1" applyFont="1" applyBorder="1"/>
    <xf numFmtId="0" fontId="0" fillId="0" borderId="9" xfId="0" applyBorder="1"/>
    <xf numFmtId="166" fontId="0" fillId="0" borderId="11" xfId="0" applyNumberFormat="1" applyBorder="1"/>
    <xf numFmtId="166" fontId="0" fillId="0" borderId="4" xfId="0" applyNumberFormat="1" applyBorder="1"/>
    <xf numFmtId="0" fontId="0" fillId="5" borderId="5" xfId="0" applyFill="1" applyBorder="1"/>
    <xf numFmtId="4" fontId="0" fillId="0" borderId="0" xfId="0" applyNumberFormat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</cellXfs>
  <cellStyles count="2">
    <cellStyle name="Normal" xfId="0" builtinId="0"/>
    <cellStyle name="Titre 1" xfId="1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baseline="0"/>
              <a:t>(Trinomial - Black &amp; Scholes) 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Pricer!$D$20:$D$41</c:f>
              <c:numCache>
                <c:formatCode>General</c:formatCode>
                <c:ptCount val="22"/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500</c:v>
                </c:pt>
              </c:numCache>
            </c:numRef>
          </c:cat>
          <c:val>
            <c:numRef>
              <c:f>Pricer!$F$20:$F$41</c:f>
              <c:numCache>
                <c:formatCode>General</c:formatCode>
                <c:ptCount val="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3-440D-929E-73128A7F5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896576"/>
        <c:axId val="280897056"/>
      </c:lineChart>
      <c:catAx>
        <c:axId val="28089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897056"/>
        <c:crosses val="autoZero"/>
        <c:auto val="1"/>
        <c:lblAlgn val="ctr"/>
        <c:lblOffset val="100"/>
        <c:noMultiLvlLbl val="0"/>
      </c:catAx>
      <c:valAx>
        <c:axId val="28089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089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(Trinomial - Black &amp; Scholes) 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/>
              <a:t>x</a:t>
            </a:r>
            <a:r>
              <a:rPr lang="fr-FR" baseline="0"/>
              <a:t> Nb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Pricer!$D$21:$D$41</c:f>
              <c:numCache>
                <c:formatCode>General</c:formatCode>
                <c:ptCount val="21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500</c:v>
                </c:pt>
              </c:numCache>
            </c:numRef>
          </c:xVal>
          <c:yVal>
            <c:numRef>
              <c:f>Pricer!$G$21:$G$41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68-4FD6-9D92-96D06D198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65904"/>
        <c:axId val="248566384"/>
      </c:scatterChart>
      <c:valAx>
        <c:axId val="24856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8566384"/>
        <c:crosses val="autoZero"/>
        <c:crossBetween val="midCat"/>
      </c:valAx>
      <c:valAx>
        <c:axId val="2485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856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16</xdr:row>
          <xdr:rowOff>142875</xdr:rowOff>
        </xdr:from>
        <xdr:to>
          <xdr:col>12</xdr:col>
          <xdr:colOff>361950</xdr:colOff>
          <xdr:row>20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Python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855766</xdr:colOff>
      <xdr:row>26</xdr:row>
      <xdr:rowOff>150499</xdr:rowOff>
    </xdr:from>
    <xdr:to>
      <xdr:col>13</xdr:col>
      <xdr:colOff>458931</xdr:colOff>
      <xdr:row>41</xdr:row>
      <xdr:rowOff>151378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433DCD-0058-19A0-B035-E622FD5A7A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813952</xdr:colOff>
      <xdr:row>43</xdr:row>
      <xdr:rowOff>70138</xdr:rowOff>
    </xdr:from>
    <xdr:to>
      <xdr:col>13</xdr:col>
      <xdr:colOff>441613</xdr:colOff>
      <xdr:row>58</xdr:row>
      <xdr:rowOff>85723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C2F2F1-2F96-B340-6FEB-4D5F09C7D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17</xdr:row>
          <xdr:rowOff>66675</xdr:rowOff>
        </xdr:from>
        <xdr:to>
          <xdr:col>10</xdr:col>
          <xdr:colOff>133350</xdr:colOff>
          <xdr:row>20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4C49-430E-42E0-91F4-338192E7256A}">
  <sheetPr codeName="Sheet1"/>
  <dimension ref="B1:U41"/>
  <sheetViews>
    <sheetView showGridLines="0" topLeftCell="B3" zoomScale="103" workbookViewId="0">
      <selection activeCell="P30" sqref="P30"/>
    </sheetView>
  </sheetViews>
  <sheetFormatPr baseColWidth="10" defaultColWidth="9.140625" defaultRowHeight="15" x14ac:dyDescent="0.25"/>
  <cols>
    <col min="5" max="5" width="13" customWidth="1"/>
    <col min="8" max="8" width="13" customWidth="1"/>
    <col min="9" max="9" width="11.28515625" customWidth="1"/>
    <col min="10" max="10" width="13" customWidth="1"/>
    <col min="11" max="11" width="15.85546875" bestFit="1" customWidth="1"/>
    <col min="12" max="12" width="11.7109375" bestFit="1" customWidth="1"/>
    <col min="13" max="13" width="18.42578125" bestFit="1" customWidth="1"/>
    <col min="17" max="17" width="18.42578125" bestFit="1" customWidth="1"/>
    <col min="18" max="18" width="12" bestFit="1" customWidth="1"/>
  </cols>
  <sheetData>
    <row r="1" spans="2:18" ht="19.5" x14ac:dyDescent="0.3">
      <c r="L1" s="1"/>
    </row>
    <row r="2" spans="2:18" ht="19.5" x14ac:dyDescent="0.3">
      <c r="K2" s="1" t="s">
        <v>18</v>
      </c>
    </row>
    <row r="5" spans="2:18" ht="31.9" customHeight="1" x14ac:dyDescent="0.25">
      <c r="E5" s="23" t="s">
        <v>17</v>
      </c>
      <c r="F5" s="24"/>
      <c r="H5" s="22" t="s">
        <v>2</v>
      </c>
      <c r="I5" s="22"/>
      <c r="K5" s="31" t="s">
        <v>20</v>
      </c>
      <c r="L5" s="32"/>
      <c r="M5" s="33"/>
      <c r="O5" s="31" t="s">
        <v>19</v>
      </c>
      <c r="P5" s="32"/>
      <c r="Q5" s="33"/>
    </row>
    <row r="6" spans="2:18" x14ac:dyDescent="0.25">
      <c r="B6" s="6"/>
      <c r="E6" s="25"/>
      <c r="F6" s="26"/>
      <c r="H6" s="22"/>
      <c r="I6" s="22"/>
      <c r="K6" s="34"/>
      <c r="L6" s="35"/>
      <c r="M6" s="36"/>
      <c r="O6" s="34"/>
      <c r="P6" s="35"/>
      <c r="Q6" s="36"/>
    </row>
    <row r="7" spans="2:18" x14ac:dyDescent="0.25">
      <c r="B7" s="6" t="s">
        <v>8</v>
      </c>
      <c r="E7" s="25"/>
      <c r="F7" s="26"/>
      <c r="H7" s="5" t="s">
        <v>0</v>
      </c>
      <c r="I7" s="8">
        <f ca="1">TODAY()</f>
        <v>45943</v>
      </c>
      <c r="K7" s="21" t="s">
        <v>6</v>
      </c>
      <c r="L7" s="21"/>
      <c r="M7" s="8">
        <v>46282</v>
      </c>
      <c r="O7" s="21" t="s">
        <v>12</v>
      </c>
      <c r="P7" s="21"/>
      <c r="Q7" s="9">
        <v>20</v>
      </c>
    </row>
    <row r="8" spans="2:18" x14ac:dyDescent="0.25">
      <c r="B8" s="6" t="s">
        <v>14</v>
      </c>
      <c r="E8" s="25"/>
      <c r="F8" s="26"/>
      <c r="H8" s="5" t="s">
        <v>1</v>
      </c>
      <c r="I8" s="3">
        <v>100</v>
      </c>
      <c r="K8" s="21" t="s">
        <v>7</v>
      </c>
      <c r="L8" s="21"/>
      <c r="M8" s="3" t="s">
        <v>8</v>
      </c>
      <c r="O8" s="21" t="s">
        <v>16</v>
      </c>
      <c r="P8" s="21"/>
      <c r="Q8" s="3" t="s">
        <v>15</v>
      </c>
    </row>
    <row r="9" spans="2:18" x14ac:dyDescent="0.25">
      <c r="B9" s="6"/>
      <c r="E9" s="25"/>
      <c r="F9" s="26"/>
      <c r="H9" s="5" t="s">
        <v>3</v>
      </c>
      <c r="I9" s="4">
        <v>0.03</v>
      </c>
      <c r="K9" s="21" t="s">
        <v>9</v>
      </c>
      <c r="L9" s="21"/>
      <c r="M9" s="3" t="s">
        <v>10</v>
      </c>
    </row>
    <row r="10" spans="2:18" x14ac:dyDescent="0.25">
      <c r="B10" s="6" t="s">
        <v>13</v>
      </c>
      <c r="E10" s="25"/>
      <c r="F10" s="26"/>
      <c r="H10" s="5" t="s">
        <v>4</v>
      </c>
      <c r="I10" s="7">
        <v>0.3</v>
      </c>
      <c r="K10" s="21" t="s">
        <v>11</v>
      </c>
      <c r="L10" s="21"/>
      <c r="M10" s="3">
        <v>105</v>
      </c>
    </row>
    <row r="11" spans="2:18" ht="24.75" customHeight="1" x14ac:dyDescent="0.25">
      <c r="B11" s="6" t="s">
        <v>15</v>
      </c>
      <c r="E11" s="25"/>
      <c r="F11" s="26"/>
      <c r="H11" s="5" t="s">
        <v>5</v>
      </c>
      <c r="I11" s="3">
        <v>3</v>
      </c>
    </row>
    <row r="12" spans="2:18" x14ac:dyDescent="0.25">
      <c r="B12" s="6"/>
      <c r="E12" s="25"/>
      <c r="F12" s="26"/>
      <c r="H12" s="5" t="s">
        <v>31</v>
      </c>
      <c r="I12" s="2">
        <v>46251</v>
      </c>
    </row>
    <row r="13" spans="2:18" x14ac:dyDescent="0.25">
      <c r="B13" s="6"/>
      <c r="E13" s="25"/>
      <c r="F13" s="26"/>
    </row>
    <row r="14" spans="2:18" x14ac:dyDescent="0.25">
      <c r="B14" s="6"/>
      <c r="E14" s="27"/>
      <c r="F14" s="28"/>
    </row>
    <row r="15" spans="2:18" ht="14.25" customHeight="1" x14ac:dyDescent="0.25">
      <c r="B15" s="6"/>
    </row>
    <row r="16" spans="2:18" x14ac:dyDescent="0.25">
      <c r="B16" s="6"/>
      <c r="N16" s="29" t="s">
        <v>30</v>
      </c>
      <c r="O16" s="30"/>
      <c r="P16" s="10"/>
      <c r="Q16" s="19" t="s">
        <v>21</v>
      </c>
      <c r="R16" s="13">
        <v>9.1013351147797437</v>
      </c>
    </row>
    <row r="17" spans="2:21" x14ac:dyDescent="0.25">
      <c r="B17" s="6"/>
      <c r="N17" s="29"/>
      <c r="O17" s="30"/>
      <c r="P17" s="11"/>
      <c r="Q17" s="3" t="s">
        <v>22</v>
      </c>
      <c r="R17" s="13">
        <v>9.4844790181325056</v>
      </c>
    </row>
    <row r="18" spans="2:21" x14ac:dyDescent="0.25">
      <c r="N18" s="29"/>
      <c r="O18" s="30"/>
      <c r="P18" s="12" t="s">
        <v>23</v>
      </c>
      <c r="Q18" s="3" t="s">
        <v>24</v>
      </c>
      <c r="R18" s="13">
        <f>ABS(R16-R17)</f>
        <v>0.38314390335276194</v>
      </c>
    </row>
    <row r="19" spans="2:21" ht="14.25" customHeight="1" x14ac:dyDescent="0.25">
      <c r="N19" s="29"/>
      <c r="O19" s="30"/>
      <c r="P19" s="11"/>
      <c r="Q19" s="3" t="s">
        <v>25</v>
      </c>
      <c r="R19" s="17">
        <v>2.9957294464111328E-3</v>
      </c>
    </row>
    <row r="20" spans="2:21" x14ac:dyDescent="0.25">
      <c r="N20" s="29"/>
      <c r="O20" s="30"/>
      <c r="P20" s="11"/>
      <c r="Q20" s="3" t="s">
        <v>26</v>
      </c>
      <c r="R20" s="17">
        <v>0</v>
      </c>
      <c r="U20" s="3"/>
    </row>
    <row r="21" spans="2:21" x14ac:dyDescent="0.25">
      <c r="D21">
        <v>10</v>
      </c>
      <c r="E21" t="str" cm="1">
        <f t="array" ref="E21">OptionPricerPyRec($I$7,$M$7, $I$8, $M$10, $I$9, $I$10, $M$8, $M$9, $D21)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1" t="e">
        <f>E21-$R$16</f>
        <v>#VALUE!</v>
      </c>
      <c r="G21" t="e">
        <f>$F21*$D21</f>
        <v>#VALUE!</v>
      </c>
      <c r="N21" s="29"/>
      <c r="O21" s="30"/>
      <c r="P21" s="11"/>
      <c r="Q21" s="3" t="s">
        <v>27</v>
      </c>
      <c r="R21" s="18">
        <f>R20+R19</f>
        <v>2.9957294464111328E-3</v>
      </c>
    </row>
    <row r="22" spans="2:21" x14ac:dyDescent="0.25">
      <c r="D22">
        <f>D21+10</f>
        <v>20</v>
      </c>
      <c r="E22" t="str" cm="1">
        <f t="array" ref="E22">OptionPricerPyRec($I$7,$M$7, $I$8, $M$10, $I$9, $I$10, $M$8, $M$9, $D22)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2" t="e">
        <f t="shared" ref="F22:F41" si="0">E22-$R$16</f>
        <v>#VALUE!</v>
      </c>
      <c r="G22" t="e">
        <f t="shared" ref="G22:G41" si="1">$F22*$D22</f>
        <v>#VALUE!</v>
      </c>
      <c r="N22" s="29"/>
      <c r="O22" s="30"/>
      <c r="P22" s="11"/>
      <c r="Q22" s="3" t="s">
        <v>32</v>
      </c>
      <c r="R22" s="3">
        <v>9.4844790181325056</v>
      </c>
    </row>
    <row r="23" spans="2:21" ht="15.75" x14ac:dyDescent="0.25">
      <c r="D23">
        <f t="shared" ref="D23:D39" si="2">D22+10</f>
        <v>30</v>
      </c>
      <c r="E23" t="str" cm="1">
        <f t="array" ref="E23">OptionPricerPyRec($I$7,$M$7, $I$8, $M$10, $I$9, $I$10, $M$8, $M$9, $D23)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3" t="e">
        <f t="shared" si="0"/>
        <v>#VALUE!</v>
      </c>
      <c r="G23" t="e">
        <f t="shared" si="1"/>
        <v>#VALUE!</v>
      </c>
      <c r="N23" s="29"/>
      <c r="O23" s="30"/>
      <c r="P23" s="11"/>
      <c r="Q23" s="3" t="s">
        <v>28</v>
      </c>
      <c r="R23" s="15"/>
    </row>
    <row r="24" spans="2:21" x14ac:dyDescent="0.25">
      <c r="D24">
        <f t="shared" si="2"/>
        <v>40</v>
      </c>
      <c r="E24" t="str" cm="1">
        <f t="array" ref="E24">OptionPricerPyRec($I$7,$M$7, $I$8, $M$10, $I$9, $I$10, $M$8, $M$9, $D24)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4" t="e">
        <f t="shared" si="0"/>
        <v>#VALUE!</v>
      </c>
      <c r="G24" t="e">
        <f t="shared" si="1"/>
        <v>#VALUE!</v>
      </c>
      <c r="N24" s="29"/>
      <c r="O24" s="30"/>
      <c r="P24" s="14"/>
      <c r="Q24" s="3" t="s">
        <v>29</v>
      </c>
      <c r="R24" s="16"/>
    </row>
    <row r="25" spans="2:21" x14ac:dyDescent="0.25">
      <c r="D25">
        <f t="shared" si="2"/>
        <v>50</v>
      </c>
      <c r="E25" t="str" cm="1">
        <f t="array" ref="E25">OptionPricerPyRec($I$7,$M$7, $I$8, $M$10, $I$9, $I$10, $M$8, $M$9, $D25)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5" t="e">
        <f t="shared" si="0"/>
        <v>#VALUE!</v>
      </c>
      <c r="G25" t="e">
        <f t="shared" si="1"/>
        <v>#VALUE!</v>
      </c>
    </row>
    <row r="26" spans="2:21" x14ac:dyDescent="0.25">
      <c r="D26">
        <f t="shared" si="2"/>
        <v>60</v>
      </c>
      <c r="E26" t="str" cm="1">
        <f t="array" ref="E26">OptionPricerPyRec($I$7,$M$7, $I$8, $M$10, $I$9, $I$10, $M$8, $M$9, $D26)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6" t="e">
        <f t="shared" si="0"/>
        <v>#VALUE!</v>
      </c>
      <c r="G26" t="e">
        <f t="shared" si="1"/>
        <v>#VALUE!</v>
      </c>
    </row>
    <row r="27" spans="2:21" x14ac:dyDescent="0.25">
      <c r="D27">
        <f t="shared" si="2"/>
        <v>70</v>
      </c>
      <c r="E27" t="str" cm="1">
        <f t="array" ref="E27">OptionPricerPyRec($I$7,$M$7, $I$8, $M$10, $I$9, $I$10, $M$8, $M$9, $D27)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7" t="e">
        <f t="shared" si="0"/>
        <v>#VALUE!</v>
      </c>
      <c r="G27" t="e">
        <f t="shared" si="1"/>
        <v>#VALUE!</v>
      </c>
    </row>
    <row r="28" spans="2:21" x14ac:dyDescent="0.25">
      <c r="D28">
        <f t="shared" si="2"/>
        <v>80</v>
      </c>
      <c r="E28" t="str" cm="1">
        <f t="array" ref="E28">OptionPricerPyRec($I$7,$M$7, $I$8, $M$10, $I$9, $I$10, $M$8, $M$9, $D28)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8" t="e">
        <f t="shared" si="0"/>
        <v>#VALUE!</v>
      </c>
      <c r="G28" t="e">
        <f t="shared" si="1"/>
        <v>#VALUE!</v>
      </c>
    </row>
    <row r="29" spans="2:21" x14ac:dyDescent="0.25">
      <c r="D29">
        <f t="shared" si="2"/>
        <v>90</v>
      </c>
      <c r="E29" t="str" cm="1">
        <f t="array" ref="E29">OptionPricerPyRec($I$7,$M$7, $I$8, $M$10, $I$9, $I$10, $M$8, $M$9, $D29)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29" t="e">
        <f t="shared" si="0"/>
        <v>#VALUE!</v>
      </c>
      <c r="G29" t="e">
        <f t="shared" si="1"/>
        <v>#VALUE!</v>
      </c>
    </row>
    <row r="30" spans="2:21" x14ac:dyDescent="0.25">
      <c r="D30">
        <f t="shared" si="2"/>
        <v>100</v>
      </c>
      <c r="E30" t="str" cm="1">
        <f t="array" ref="E30">OptionPricerPyRec($I$7,$M$7, $I$8, $M$10, $I$9, $I$10, $M$8, $M$9, $D30)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0" t="e">
        <f t="shared" si="0"/>
        <v>#VALUE!</v>
      </c>
      <c r="G30" t="e">
        <f t="shared" si="1"/>
        <v>#VALUE!</v>
      </c>
    </row>
    <row r="31" spans="2:21" x14ac:dyDescent="0.25">
      <c r="D31">
        <f t="shared" si="2"/>
        <v>110</v>
      </c>
      <c r="E31" t="str" cm="1">
        <f t="array" ref="E31">OptionPricerPyRec($I$7,$M$7, $I$8, $M$10, $I$9, $I$10, $M$8, $M$9, $D31)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1" t="e">
        <f t="shared" si="0"/>
        <v>#VALUE!</v>
      </c>
      <c r="G31" t="e">
        <f t="shared" si="1"/>
        <v>#VALUE!</v>
      </c>
    </row>
    <row r="32" spans="2:21" x14ac:dyDescent="0.25">
      <c r="D32">
        <f t="shared" si="2"/>
        <v>120</v>
      </c>
      <c r="E32" t="str" cm="1">
        <f t="array" ref="E32">OptionPricerPyRec($I$7,$M$7, $I$8, $M$10, $I$9, $I$10, $M$8, $M$9, $D32)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2" t="e">
        <f t="shared" si="0"/>
        <v>#VALUE!</v>
      </c>
      <c r="G32" t="e">
        <f t="shared" si="1"/>
        <v>#VALUE!</v>
      </c>
    </row>
    <row r="33" spans="4:7" x14ac:dyDescent="0.25">
      <c r="D33">
        <f t="shared" si="2"/>
        <v>130</v>
      </c>
      <c r="E33" t="str" cm="1">
        <f t="array" ref="E33">OptionPricerPyRec($I$7,$M$7, $I$8, $M$10, $I$9, $I$10, $M$8, $M$9, $D33)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3" t="e">
        <f t="shared" si="0"/>
        <v>#VALUE!</v>
      </c>
      <c r="G33" t="e">
        <f t="shared" si="1"/>
        <v>#VALUE!</v>
      </c>
    </row>
    <row r="34" spans="4:7" x14ac:dyDescent="0.25">
      <c r="D34">
        <f t="shared" si="2"/>
        <v>140</v>
      </c>
      <c r="E34" t="str" cm="1">
        <f t="array" ref="E34">OptionPricerPyRec($I$7,$M$7, $I$8, $M$10, $I$9, $I$10, $M$8, $M$9, $D34)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4" t="e">
        <f t="shared" si="0"/>
        <v>#VALUE!</v>
      </c>
      <c r="G34" t="e">
        <f t="shared" si="1"/>
        <v>#VALUE!</v>
      </c>
    </row>
    <row r="35" spans="4:7" x14ac:dyDescent="0.25">
      <c r="D35">
        <f t="shared" si="2"/>
        <v>150</v>
      </c>
      <c r="E35" t="str" cm="1">
        <f t="array" ref="E35">OptionPricerPyRec($I$7,$M$7, $I$8, $M$10, $I$9, $I$10, $M$8, $M$9, $D35)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5" t="e">
        <f t="shared" si="0"/>
        <v>#VALUE!</v>
      </c>
      <c r="G35" t="e">
        <f t="shared" si="1"/>
        <v>#VALUE!</v>
      </c>
    </row>
    <row r="36" spans="4:7" x14ac:dyDescent="0.25">
      <c r="D36">
        <f t="shared" si="2"/>
        <v>160</v>
      </c>
      <c r="E36" t="str" cm="1">
        <f t="array" ref="E36">OptionPricerPyRec($I$7,$M$7, $I$8, $M$10, $I$9, $I$10, $M$8, $M$9, $D36)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6" t="e">
        <f t="shared" si="0"/>
        <v>#VALUE!</v>
      </c>
      <c r="G36" t="e">
        <f t="shared" si="1"/>
        <v>#VALUE!</v>
      </c>
    </row>
    <row r="37" spans="4:7" x14ac:dyDescent="0.25">
      <c r="D37">
        <f t="shared" si="2"/>
        <v>170</v>
      </c>
      <c r="E37" t="str" cm="1">
        <f t="array" ref="E37">OptionPricerPyRec($I$7,$M$7, $I$8, $M$10, $I$9, $I$10, $M$8, $M$9, $D37)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7" t="e">
        <f t="shared" si="0"/>
        <v>#VALUE!</v>
      </c>
      <c r="G37" t="e">
        <f t="shared" si="1"/>
        <v>#VALUE!</v>
      </c>
    </row>
    <row r="38" spans="4:7" x14ac:dyDescent="0.25">
      <c r="D38">
        <f t="shared" si="2"/>
        <v>180</v>
      </c>
      <c r="E38" t="str" cm="1">
        <f t="array" ref="E38">OptionPricerPyRec($I$7,$M$7, $I$8, $M$10, $I$9, $I$10, $M$8, $M$9, $D38)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8" t="e">
        <f t="shared" si="0"/>
        <v>#VALUE!</v>
      </c>
      <c r="G38" t="e">
        <f t="shared" si="1"/>
        <v>#VALUE!</v>
      </c>
    </row>
    <row r="39" spans="4:7" x14ac:dyDescent="0.25">
      <c r="D39">
        <f t="shared" si="2"/>
        <v>190</v>
      </c>
      <c r="E39" t="str" cm="1">
        <f t="array" ref="E39">OptionPricerPyRec($I$7,$M$7, $I$8, $M$10, $I$9, $I$10, $M$8, $M$9, $D39)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39" t="e">
        <f t="shared" si="0"/>
        <v>#VALUE!</v>
      </c>
      <c r="G39" t="e">
        <f t="shared" si="1"/>
        <v>#VALUE!</v>
      </c>
    </row>
    <row r="40" spans="4:7" x14ac:dyDescent="0.25">
      <c r="D40">
        <f>D39+10</f>
        <v>200</v>
      </c>
      <c r="E40" t="str" cm="1">
        <f t="array" ref="E40">OptionPricerPyRec($I$7,$M$7, $I$8, $M$10, $I$9, $I$10, $M$8, $M$9, $D40)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40" t="e">
        <f t="shared" si="0"/>
        <v>#VALUE!</v>
      </c>
      <c r="G40" t="e">
        <f t="shared" si="1"/>
        <v>#VALUE!</v>
      </c>
    </row>
    <row r="41" spans="4:7" x14ac:dyDescent="0.25">
      <c r="D41">
        <v>500</v>
      </c>
      <c r="E41" t="str" cm="1">
        <f t="array" ref="E41">OptionPricerPyRec($I$7,$M$7, $I$8, $M$10, $I$9, $I$10, $M$8, $M$9, $D41)</f>
        <v>ModuleNotFoundError: No module named 'main'
  File "&lt;frozen importlib._bootstrap&gt;", line 1324, in _find_and_load_unlocked
  File "&lt;frozen importlib._bootstrap&gt;", line 1360, in _find_and_load
  File "&lt;frozen importlib._bootstrap&gt;", line 1387, in _gcd_import
           ^^^^^^^^^^^^^^^^^^^^^^^^^^^^^^^^^^^^^^^^^^^^^^^^^^^^
    return _bootstrap._gcd_import(name[level:], package, level)
  File "C:\Users\milos\anaconda3\Lib\importlib\__init__.py", line 90, in import_module
             ^^^^^^^^^^^^^^^^^^^^^^^^^^
    module = import_module(module_name)
  File "C:\Users\milos\anaconda3\Lib\site-packages\xlwings\udfs.py", line 415, in get_udf_module
             ^^^^^^^^^^^^^^^^^^^^^^^^^^^^^^^^^^^^^^^^^^
    module = get_udf_module(module_name, this_workbook)
  File "C:\Users\milos\anaconda3\Lib\site-packages\xlwings\udfs.py", line 449, in call_udf
          ^^^^^^^^^^^^^^^^^^^^^^^^^^^^^^^^^^^^^^^^^^^^^^^^^^^^^^^^^^^^^^^^^
    res = call_udf(script, fname, args, this_workbook, FromVariant(caller))
  File "C:\Users\milos\anaconda3\Lib\site-packages\xlwings\com_server.py", line 235, in CallUDF
           ^^^^^^^^^^^
    return func(*args)
  File "C:\Users\milos\anaconda3\Lib\site-packages\win32com\server\policy.py", line 637, in _invokeex_
                     ^^^^^^^^^^^^^^^^^^^^^^^^^^^^^^^^^^^^^^^^^^^^^^^^^^^^^^^
    return S_OK, -1, self._invokeex_(dispid, lcid, wFlags, args, None, None)
  File "C:\Users\milos\anaconda3\Lib\site-packages\win32com\server\policy.py", line 308, in _invoke_
           ^^^^^^^^^^^^^^^^^^^^^^^^^^^^^^^^^^^^^^^^^
    return self._invoke_(dispid, lcid, wFlags, args)
  File "C:\Users\milos\anaconda3\Lib\site-packages\win32com\server\policy.py", line 303, in _Invoke_</v>
      </c>
      <c r="F41" t="e">
        <f t="shared" si="0"/>
        <v>#VALUE!</v>
      </c>
      <c r="G41" t="e">
        <f t="shared" si="1"/>
        <v>#VALUE!</v>
      </c>
    </row>
  </sheetData>
  <mergeCells count="11">
    <mergeCell ref="K9:L9"/>
    <mergeCell ref="K10:L10"/>
    <mergeCell ref="H5:I6"/>
    <mergeCell ref="E5:F14"/>
    <mergeCell ref="N16:O24"/>
    <mergeCell ref="O7:P7"/>
    <mergeCell ref="O8:P8"/>
    <mergeCell ref="O5:Q6"/>
    <mergeCell ref="K5:M6"/>
    <mergeCell ref="K7:L7"/>
    <mergeCell ref="K8:L8"/>
  </mergeCells>
  <dataValidations count="2">
    <dataValidation type="list" allowBlank="1" showInputMessage="1" showErrorMessage="1" sqref="M8" xr:uid="{FFFE4CEC-4679-4FE8-AFE0-DEDA594D9867}">
      <formula1>$B$7:$B$8</formula1>
    </dataValidation>
    <dataValidation type="list" allowBlank="1" showInputMessage="1" showErrorMessage="1" sqref="Q8" xr:uid="{B7164927-476B-4AEB-B032-9F752DA73CAE}">
      <formula1>$B$10:$B$11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_python">
                <anchor moveWithCells="1" sizeWithCells="1">
                  <from>
                    <xdr:col>10</xdr:col>
                    <xdr:colOff>361950</xdr:colOff>
                    <xdr:row>16</xdr:row>
                    <xdr:rowOff>142875</xdr:rowOff>
                  </from>
                  <to>
                    <xdr:col>12</xdr:col>
                    <xdr:colOff>361950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teAndPlotTree">
                <anchor moveWithCells="1" sizeWithCells="1">
                  <from>
                    <xdr:col>8</xdr:col>
                    <xdr:colOff>295275</xdr:colOff>
                    <xdr:row>17</xdr:row>
                    <xdr:rowOff>66675</xdr:rowOff>
                  </from>
                  <to>
                    <xdr:col>10</xdr:col>
                    <xdr:colOff>133350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8F1A-927C-4AEC-B150-6D25CFB25CA9}">
  <sheetPr codeName="Sheet2"/>
  <dimension ref="A3:T43"/>
  <sheetViews>
    <sheetView tabSelected="1" topLeftCell="A7" zoomScaleNormal="100" workbookViewId="0">
      <selection activeCell="T20" sqref="T20"/>
    </sheetView>
  </sheetViews>
  <sheetFormatPr baseColWidth="10" defaultColWidth="9.140625" defaultRowHeight="15" x14ac:dyDescent="0.25"/>
  <sheetData>
    <row r="3" spans="7:20" x14ac:dyDescent="0.25">
      <c r="T3">
        <v>0.15750979276365792</v>
      </c>
    </row>
    <row r="4" spans="7:20" x14ac:dyDescent="0.25">
      <c r="S4">
        <v>0.29664628374700569</v>
      </c>
      <c r="T4">
        <v>0.15750979276367463</v>
      </c>
    </row>
    <row r="5" spans="7:20" x14ac:dyDescent="0.25">
      <c r="R5">
        <v>0.15750979276365881</v>
      </c>
      <c r="S5">
        <v>0.29382958187311747</v>
      </c>
      <c r="T5">
        <v>0.15750979276365748</v>
      </c>
    </row>
    <row r="6" spans="7:20" x14ac:dyDescent="0.25">
      <c r="Q6">
        <v>0.15750979276365837</v>
      </c>
      <c r="R6">
        <v>0.15750979276365881</v>
      </c>
      <c r="S6">
        <v>0.29069926199170038</v>
      </c>
      <c r="T6">
        <v>0.15750979276365837</v>
      </c>
    </row>
    <row r="7" spans="7:20" x14ac:dyDescent="0.25">
      <c r="P7">
        <v>0.15750979276365881</v>
      </c>
      <c r="Q7">
        <v>0.15750979276365881</v>
      </c>
      <c r="R7">
        <v>0.15750979276365792</v>
      </c>
      <c r="S7">
        <v>0.28722321495349851</v>
      </c>
      <c r="T7">
        <v>0.15750979276365792</v>
      </c>
    </row>
    <row r="8" spans="7:20" x14ac:dyDescent="0.25">
      <c r="O8">
        <v>0.15750979276365748</v>
      </c>
      <c r="P8">
        <v>0.15750979276365881</v>
      </c>
      <c r="Q8">
        <v>0.15750979276365881</v>
      </c>
      <c r="R8">
        <v>0.15750979276366542</v>
      </c>
      <c r="S8">
        <v>0.28336679470188397</v>
      </c>
      <c r="T8">
        <v>0.15750979276365792</v>
      </c>
    </row>
    <row r="9" spans="7:20" x14ac:dyDescent="0.25">
      <c r="N9">
        <v>0.15750979276365221</v>
      </c>
      <c r="O9">
        <v>0.15750979276364957</v>
      </c>
      <c r="P9">
        <v>0.15750979276365049</v>
      </c>
      <c r="Q9">
        <v>0.15750979276365001</v>
      </c>
      <c r="R9">
        <v>0.15750979276364957</v>
      </c>
      <c r="S9">
        <v>0.27909283584934619</v>
      </c>
      <c r="T9">
        <v>0.15750979276365748</v>
      </c>
    </row>
    <row r="10" spans="7:20" x14ac:dyDescent="0.25">
      <c r="M10">
        <v>0.15750979276365837</v>
      </c>
      <c r="N10">
        <v>0.15750979276366806</v>
      </c>
      <c r="O10">
        <v>0.15750979276365748</v>
      </c>
      <c r="P10">
        <v>0.15750979276365881</v>
      </c>
      <c r="Q10">
        <v>0.15750979276365837</v>
      </c>
      <c r="R10">
        <v>0.15750979276364957</v>
      </c>
      <c r="S10">
        <v>0.27436175319801609</v>
      </c>
      <c r="T10">
        <v>0.15750979276366581</v>
      </c>
    </row>
    <row r="11" spans="7:20" x14ac:dyDescent="0.25">
      <c r="L11">
        <v>0.15750979276365973</v>
      </c>
      <c r="M11">
        <v>0.15750979276366625</v>
      </c>
      <c r="N11">
        <v>0.15750979276365221</v>
      </c>
      <c r="O11">
        <v>0.15750979276365792</v>
      </c>
      <c r="P11">
        <v>0.15750979276365881</v>
      </c>
      <c r="Q11">
        <v>0.15750979276365881</v>
      </c>
      <c r="R11">
        <v>0.15750979276365837</v>
      </c>
      <c r="S11">
        <v>0.26913175295808789</v>
      </c>
      <c r="T11">
        <v>0.15750979276366625</v>
      </c>
    </row>
    <row r="12" spans="7:20" x14ac:dyDescent="0.25">
      <c r="K12">
        <v>0.15750979276365135</v>
      </c>
      <c r="L12">
        <v>0.15750979276365973</v>
      </c>
      <c r="M12">
        <v>0.15750979276366625</v>
      </c>
      <c r="N12">
        <v>0.15750979276365221</v>
      </c>
      <c r="O12">
        <v>0.15750979276365001</v>
      </c>
      <c r="P12">
        <v>0.15750979276365881</v>
      </c>
      <c r="Q12">
        <v>0.15750979276366625</v>
      </c>
      <c r="R12">
        <v>0.15750979276366625</v>
      </c>
      <c r="S12">
        <v>0.26335919397699242</v>
      </c>
      <c r="T12">
        <v>0.15750979276365792</v>
      </c>
    </row>
    <row r="13" spans="7:20" x14ac:dyDescent="0.25">
      <c r="J13">
        <v>0.15750979276366625</v>
      </c>
      <c r="K13">
        <v>0.15750979276365135</v>
      </c>
      <c r="L13">
        <v>0.15750979276365881</v>
      </c>
      <c r="M13">
        <v>0.15750979276364957</v>
      </c>
      <c r="N13">
        <v>0.15750979276366806</v>
      </c>
      <c r="O13">
        <v>0.15750979276364957</v>
      </c>
      <c r="P13">
        <v>0.15750979276365881</v>
      </c>
      <c r="Q13">
        <v>0.15750979276366625</v>
      </c>
      <c r="R13">
        <v>0.15750979276365881</v>
      </c>
      <c r="S13">
        <v>0.256999148124684</v>
      </c>
      <c r="T13">
        <v>0.15750979276365792</v>
      </c>
    </row>
    <row r="14" spans="7:20" x14ac:dyDescent="0.25">
      <c r="I14">
        <v>0.15750979276365881</v>
      </c>
      <c r="J14">
        <v>0.15750979276366581</v>
      </c>
      <c r="K14">
        <v>0.15750979276365973</v>
      </c>
      <c r="L14">
        <v>0.15750979276365881</v>
      </c>
      <c r="M14">
        <v>0.1575097927636667</v>
      </c>
      <c r="N14">
        <v>0.15750979276366717</v>
      </c>
      <c r="O14">
        <v>0.15750979276365748</v>
      </c>
      <c r="P14">
        <v>0.15750979276365881</v>
      </c>
      <c r="Q14">
        <v>0.15750979276365837</v>
      </c>
      <c r="R14">
        <v>0.15750979276365881</v>
      </c>
      <c r="S14">
        <v>0.25000622267886002</v>
      </c>
      <c r="T14">
        <v>0.15750979276365837</v>
      </c>
    </row>
    <row r="15" spans="7:20" x14ac:dyDescent="0.25">
      <c r="H15">
        <v>0.1575097927636667</v>
      </c>
      <c r="I15">
        <v>0.15750979276367508</v>
      </c>
      <c r="J15">
        <v>0.15750979276365837</v>
      </c>
      <c r="K15">
        <v>0.15750979276365973</v>
      </c>
      <c r="L15">
        <v>0.1575097927636667</v>
      </c>
      <c r="M15">
        <v>0.15750979276366717</v>
      </c>
      <c r="N15">
        <v>0.15750979276365973</v>
      </c>
      <c r="O15">
        <v>0.15750979276365837</v>
      </c>
      <c r="P15">
        <v>0.15750979276365135</v>
      </c>
      <c r="Q15">
        <v>0.1575097927636667</v>
      </c>
      <c r="R15">
        <v>0.15750979276365881</v>
      </c>
      <c r="S15">
        <v>0.24233572485103513</v>
      </c>
      <c r="T15">
        <v>0.15750979276367463</v>
      </c>
    </row>
    <row r="16" spans="7:20" x14ac:dyDescent="0.25">
      <c r="G16">
        <v>0.15750979276366806</v>
      </c>
      <c r="H16">
        <v>0.15750979276366625</v>
      </c>
      <c r="I16">
        <v>0.15750979276365881</v>
      </c>
      <c r="J16">
        <v>0.15750979276365837</v>
      </c>
      <c r="K16">
        <v>0.15750979276365973</v>
      </c>
      <c r="L16">
        <v>0.15750979276365881</v>
      </c>
      <c r="M16">
        <v>0.15750979276365973</v>
      </c>
      <c r="N16">
        <v>0.15750979276365881</v>
      </c>
      <c r="O16">
        <v>0.15750979276366625</v>
      </c>
      <c r="P16">
        <v>0.15750979276365973</v>
      </c>
      <c r="Q16">
        <v>0.15750979276366625</v>
      </c>
      <c r="R16">
        <v>0.15750979276365881</v>
      </c>
      <c r="S16">
        <v>0.23394527041373525</v>
      </c>
      <c r="T16">
        <v>0.15750979276365001</v>
      </c>
    </row>
    <row r="17" spans="1:20" x14ac:dyDescent="0.25">
      <c r="F17">
        <v>0.15750979276366625</v>
      </c>
      <c r="G17">
        <v>0.15750979276366806</v>
      </c>
      <c r="H17">
        <v>0.15750979276366625</v>
      </c>
      <c r="I17">
        <v>0.15750979276365881</v>
      </c>
      <c r="J17">
        <v>0.15750979276365881</v>
      </c>
      <c r="K17">
        <v>0.15750979276365973</v>
      </c>
      <c r="L17">
        <v>0.15750979276365881</v>
      </c>
      <c r="M17">
        <v>0.15750979276365881</v>
      </c>
      <c r="N17">
        <v>0.15750979276365881</v>
      </c>
      <c r="O17">
        <v>0.15750979276365881</v>
      </c>
      <c r="P17">
        <v>0.15750979276365881</v>
      </c>
      <c r="Q17">
        <v>0.15750979276366625</v>
      </c>
      <c r="R17">
        <v>0.15750979276365881</v>
      </c>
      <c r="S17">
        <v>0.22479696588693329</v>
      </c>
      <c r="T17">
        <v>0.15750979276365792</v>
      </c>
    </row>
    <row r="18" spans="1:20" x14ac:dyDescent="0.25">
      <c r="E18">
        <v>0.15750979276365881</v>
      </c>
      <c r="F18">
        <v>0.15750979276365792</v>
      </c>
      <c r="G18">
        <v>0.15750979276365135</v>
      </c>
      <c r="H18">
        <v>0.15750979276365792</v>
      </c>
      <c r="I18">
        <v>0.15750979276365881</v>
      </c>
      <c r="J18">
        <v>0.15750979276365135</v>
      </c>
      <c r="K18">
        <v>0.15750979276365973</v>
      </c>
      <c r="L18">
        <v>0.15750979276365881</v>
      </c>
      <c r="M18">
        <v>0.15750979276365881</v>
      </c>
      <c r="N18">
        <v>0.15750979276365881</v>
      </c>
      <c r="O18">
        <v>0.15750979276365881</v>
      </c>
      <c r="P18">
        <v>0.15750979276365881</v>
      </c>
      <c r="Q18">
        <v>0.15750979276365792</v>
      </c>
      <c r="R18">
        <v>0.15750979276365881</v>
      </c>
      <c r="S18">
        <v>0.21486032836857316</v>
      </c>
      <c r="T18">
        <v>0.15750979276366625</v>
      </c>
    </row>
    <row r="19" spans="1:20" x14ac:dyDescent="0.25">
      <c r="D19">
        <v>0.15750979276365973</v>
      </c>
      <c r="E19">
        <v>0.15750979276365881</v>
      </c>
      <c r="F19">
        <v>0.15750979276365881</v>
      </c>
      <c r="G19">
        <v>0.15750979276366806</v>
      </c>
      <c r="H19">
        <v>0.15750979276365792</v>
      </c>
      <c r="I19">
        <v>0.15750979276365881</v>
      </c>
      <c r="J19">
        <v>0.15750979276365881</v>
      </c>
      <c r="K19">
        <v>0.15750979276365973</v>
      </c>
      <c r="L19">
        <v>0.15750979276366717</v>
      </c>
      <c r="M19">
        <v>0.15750979276365973</v>
      </c>
      <c r="N19">
        <v>0.15750979276365881</v>
      </c>
      <c r="O19">
        <v>0.15750979276365973</v>
      </c>
      <c r="P19">
        <v>0.15750979276365881</v>
      </c>
      <c r="Q19">
        <v>0.15750979276364957</v>
      </c>
      <c r="R19">
        <v>0.15750979276365881</v>
      </c>
      <c r="S19">
        <v>0.20411615066335195</v>
      </c>
      <c r="T19">
        <v>0.15750979276365881</v>
      </c>
    </row>
    <row r="20" spans="1:20" x14ac:dyDescent="0.25">
      <c r="C20">
        <v>0.15750979276365135</v>
      </c>
      <c r="D20">
        <v>0.15750979276365135</v>
      </c>
      <c r="E20">
        <v>0.15750979276366625</v>
      </c>
      <c r="F20">
        <v>0.1575097927636667</v>
      </c>
      <c r="G20">
        <v>0.15750979276367552</v>
      </c>
      <c r="H20">
        <v>0.15750979276365881</v>
      </c>
      <c r="I20">
        <v>0.15750979276365881</v>
      </c>
      <c r="J20">
        <v>0.15750979276365881</v>
      </c>
      <c r="K20">
        <v>0.15750979276366717</v>
      </c>
      <c r="L20">
        <v>0.1575097927636667</v>
      </c>
      <c r="M20">
        <v>0.15750979276365973</v>
      </c>
      <c r="N20">
        <v>0.15750979276365881</v>
      </c>
      <c r="O20">
        <v>0.15750979276365973</v>
      </c>
      <c r="P20">
        <v>0.15750979276365001</v>
      </c>
      <c r="Q20">
        <v>0.15750979276365792</v>
      </c>
      <c r="R20">
        <v>0.15750979276365881</v>
      </c>
      <c r="S20">
        <v>0.19256157415325545</v>
      </c>
      <c r="T20">
        <v>0.15750979276365049</v>
      </c>
    </row>
    <row r="21" spans="1:20" x14ac:dyDescent="0.25">
      <c r="B21">
        <v>0.15750979276366717</v>
      </c>
      <c r="C21">
        <v>0.15750979276366717</v>
      </c>
      <c r="D21">
        <v>0.15750979276365135</v>
      </c>
      <c r="E21">
        <v>0.15750979276365837</v>
      </c>
      <c r="F21">
        <v>0.15750979276365881</v>
      </c>
      <c r="G21">
        <v>0.1575097927636667</v>
      </c>
      <c r="H21">
        <v>0.15750979276366717</v>
      </c>
      <c r="I21">
        <v>0.1575097927636667</v>
      </c>
      <c r="J21">
        <v>0.15750979276366717</v>
      </c>
      <c r="K21">
        <v>0.15750979276366717</v>
      </c>
      <c r="L21">
        <v>0.15750979276365881</v>
      </c>
      <c r="M21">
        <v>0.1575097927636667</v>
      </c>
      <c r="N21">
        <v>0.15750979276365881</v>
      </c>
      <c r="O21">
        <v>0.15750979276365135</v>
      </c>
      <c r="P21">
        <v>0.15750979276365837</v>
      </c>
      <c r="Q21">
        <v>0.15750979276365881</v>
      </c>
      <c r="R21">
        <v>0.15750979276366717</v>
      </c>
      <c r="S21">
        <v>0.18021670071006629</v>
      </c>
      <c r="T21">
        <v>0.15750979276365881</v>
      </c>
    </row>
    <row r="22" spans="1:20" x14ac:dyDescent="0.25">
      <c r="A22">
        <v>0.15750979276365881</v>
      </c>
      <c r="B22">
        <v>0.15750979276365881</v>
      </c>
      <c r="C22">
        <v>0.15750979276365881</v>
      </c>
      <c r="D22">
        <v>0.1575097927636667</v>
      </c>
      <c r="E22">
        <v>0.15750979276365881</v>
      </c>
      <c r="F22">
        <v>0.15750979276365881</v>
      </c>
      <c r="G22">
        <v>0.1575097927636667</v>
      </c>
      <c r="H22">
        <v>0.15750979276365881</v>
      </c>
      <c r="I22">
        <v>0.1575097927636667</v>
      </c>
      <c r="J22">
        <v>0.15750979276365881</v>
      </c>
      <c r="K22">
        <v>0.15750979276365881</v>
      </c>
      <c r="L22">
        <v>0.1575097927636667</v>
      </c>
      <c r="M22">
        <v>0.15750979276365881</v>
      </c>
      <c r="N22">
        <v>0.15750979276365881</v>
      </c>
      <c r="O22">
        <v>0.15750979276365881</v>
      </c>
      <c r="P22">
        <v>0.15750979276365881</v>
      </c>
      <c r="Q22">
        <v>0.15750979276365881</v>
      </c>
      <c r="R22">
        <v>0.15750979276366717</v>
      </c>
      <c r="S22">
        <v>0.16713316144456591</v>
      </c>
      <c r="T22">
        <v>0.15750979276365881</v>
      </c>
    </row>
    <row r="23" spans="1:20" x14ac:dyDescent="0.25">
      <c r="B23">
        <v>0.15750979276365792</v>
      </c>
      <c r="C23">
        <v>0.15750979276365881</v>
      </c>
      <c r="D23">
        <v>0.15750979276365135</v>
      </c>
      <c r="E23">
        <v>0.15750979276365881</v>
      </c>
      <c r="F23">
        <v>0.15750979276365135</v>
      </c>
      <c r="G23">
        <v>0.15750979276365837</v>
      </c>
      <c r="H23">
        <v>0.15750979276365135</v>
      </c>
      <c r="I23">
        <v>0.15750979276365881</v>
      </c>
      <c r="J23">
        <v>0.15750979276365881</v>
      </c>
      <c r="K23">
        <v>0.15750979276365881</v>
      </c>
      <c r="L23">
        <v>0.15750979276365881</v>
      </c>
      <c r="M23">
        <v>0.15750979276365135</v>
      </c>
      <c r="N23">
        <v>0.15750979276365881</v>
      </c>
      <c r="O23">
        <v>0.15750979276365881</v>
      </c>
      <c r="P23">
        <v>0.15750979276366625</v>
      </c>
      <c r="Q23">
        <v>0.15750979276365881</v>
      </c>
      <c r="R23">
        <v>0.15750979276365881</v>
      </c>
      <c r="S23">
        <v>0.15340516868677012</v>
      </c>
      <c r="T23">
        <v>0.15750979276365135</v>
      </c>
    </row>
    <row r="24" spans="1:20" x14ac:dyDescent="0.25">
      <c r="C24">
        <v>0.15750979276365881</v>
      </c>
      <c r="D24">
        <v>0.15750979276365973</v>
      </c>
      <c r="E24">
        <v>0.15750979276365881</v>
      </c>
      <c r="F24">
        <v>0.15750979276365135</v>
      </c>
      <c r="G24">
        <v>0.15750979276365001</v>
      </c>
      <c r="H24">
        <v>0.15750979276365973</v>
      </c>
      <c r="I24">
        <v>0.15750979276365792</v>
      </c>
      <c r="J24">
        <v>0.15750979276365973</v>
      </c>
      <c r="K24">
        <v>0.15750979276365881</v>
      </c>
      <c r="L24">
        <v>0.1575097927636667</v>
      </c>
      <c r="M24">
        <v>0.1575097927636667</v>
      </c>
      <c r="N24">
        <v>0.15750979276365881</v>
      </c>
      <c r="O24">
        <v>0.15750979276365135</v>
      </c>
      <c r="P24">
        <v>0.15750979276365001</v>
      </c>
      <c r="Q24">
        <v>0.15750979276365049</v>
      </c>
      <c r="R24">
        <v>0.15750979276365881</v>
      </c>
      <c r="S24">
        <v>0.13918371389326933</v>
      </c>
      <c r="T24">
        <v>0.15750979276365135</v>
      </c>
    </row>
    <row r="25" spans="1:20" x14ac:dyDescent="0.25">
      <c r="D25">
        <v>0.15750979276365881</v>
      </c>
      <c r="E25">
        <v>0.15750979276365881</v>
      </c>
      <c r="F25">
        <v>0.15750979276366806</v>
      </c>
      <c r="G25">
        <v>0.15750979276365881</v>
      </c>
      <c r="H25">
        <v>0.15750979276365881</v>
      </c>
      <c r="I25">
        <v>0.15750979276365792</v>
      </c>
      <c r="J25">
        <v>0.15750979276366059</v>
      </c>
      <c r="K25">
        <v>0.15750979276365792</v>
      </c>
      <c r="L25">
        <v>0.15750979276365881</v>
      </c>
      <c r="M25">
        <v>0.15750979276365881</v>
      </c>
      <c r="N25">
        <v>0.15750979276365881</v>
      </c>
      <c r="O25">
        <v>0.15750979276366806</v>
      </c>
      <c r="P25">
        <v>0.15750979276365792</v>
      </c>
      <c r="Q25">
        <v>0.15750979276365881</v>
      </c>
      <c r="R25">
        <v>0.15750979276365049</v>
      </c>
      <c r="S25">
        <v>0.12469474518589428</v>
      </c>
      <c r="T25">
        <v>0.15750979276365973</v>
      </c>
    </row>
    <row r="26" spans="1:20" x14ac:dyDescent="0.25">
      <c r="E26">
        <v>0.15750979276366717</v>
      </c>
      <c r="F26">
        <v>0.15750979276365881</v>
      </c>
      <c r="G26">
        <v>0.15750979276365973</v>
      </c>
      <c r="H26">
        <v>0.15750979276365881</v>
      </c>
      <c r="I26">
        <v>0.15750979276366717</v>
      </c>
      <c r="J26">
        <v>0.15750979276365973</v>
      </c>
      <c r="K26">
        <v>0.15750979276365881</v>
      </c>
      <c r="L26">
        <v>0.15750979276365881</v>
      </c>
      <c r="M26">
        <v>0.15750979276366717</v>
      </c>
      <c r="N26">
        <v>0.15750979276365881</v>
      </c>
      <c r="O26">
        <v>0.15750979276365973</v>
      </c>
      <c r="P26">
        <v>0.15750979276365792</v>
      </c>
      <c r="Q26">
        <v>0.15750979276365881</v>
      </c>
      <c r="R26">
        <v>0.15750979276365792</v>
      </c>
      <c r="S26">
        <v>0.1102623727121412</v>
      </c>
      <c r="T26">
        <v>0.15750979276365973</v>
      </c>
    </row>
    <row r="27" spans="1:20" x14ac:dyDescent="0.25">
      <c r="F27">
        <v>0.15750979276365881</v>
      </c>
      <c r="G27">
        <v>0.15750979276365135</v>
      </c>
      <c r="H27">
        <v>0.15750979276365748</v>
      </c>
      <c r="I27">
        <v>0.15750979276365881</v>
      </c>
      <c r="J27">
        <v>0.15750979276365221</v>
      </c>
      <c r="K27">
        <v>0.15750979276365881</v>
      </c>
      <c r="L27">
        <v>0.15750979276365881</v>
      </c>
      <c r="M27">
        <v>0.15750979276365135</v>
      </c>
      <c r="N27">
        <v>0.15750979276365881</v>
      </c>
      <c r="O27">
        <v>0.15750979276365135</v>
      </c>
      <c r="P27">
        <v>0.15750979276364957</v>
      </c>
      <c r="Q27">
        <v>0.15750979276365973</v>
      </c>
      <c r="R27">
        <v>0.15750979276365837</v>
      </c>
      <c r="S27">
        <v>9.6338418959593247E-2</v>
      </c>
      <c r="T27">
        <v>0.15750979276365973</v>
      </c>
    </row>
    <row r="28" spans="1:20" x14ac:dyDescent="0.25">
      <c r="G28">
        <v>0.15750979276365973</v>
      </c>
      <c r="H28">
        <v>0.15750979276365049</v>
      </c>
      <c r="I28">
        <v>0.15750979276365001</v>
      </c>
      <c r="J28">
        <v>0.15750979276365221</v>
      </c>
      <c r="K28">
        <v>0.1575097927636667</v>
      </c>
      <c r="L28">
        <v>0.15750979276365973</v>
      </c>
      <c r="M28">
        <v>0.15750979276365881</v>
      </c>
      <c r="N28">
        <v>0.15750979276365881</v>
      </c>
      <c r="O28">
        <v>0.15750979276365135</v>
      </c>
      <c r="P28">
        <v>0.15750979276366581</v>
      </c>
      <c r="Q28">
        <v>0.15750979276365973</v>
      </c>
      <c r="R28">
        <v>0.15750979276366625</v>
      </c>
      <c r="S28">
        <v>8.3539968296848621E-2</v>
      </c>
      <c r="T28">
        <v>0.15750979276364388</v>
      </c>
    </row>
    <row r="29" spans="1:20" x14ac:dyDescent="0.25">
      <c r="H29">
        <v>0.15750979276365837</v>
      </c>
      <c r="I29">
        <v>0.15750979276365792</v>
      </c>
      <c r="J29">
        <v>0.15750979276364388</v>
      </c>
      <c r="K29">
        <v>0.15750979276365792</v>
      </c>
      <c r="L29">
        <v>0.15750979276365135</v>
      </c>
      <c r="M29">
        <v>0.15750979276366717</v>
      </c>
      <c r="N29">
        <v>0.15750979276365973</v>
      </c>
      <c r="O29">
        <v>0.15750979276365881</v>
      </c>
      <c r="P29">
        <v>0.15750979276365748</v>
      </c>
      <c r="Q29">
        <v>0.15750979276365135</v>
      </c>
      <c r="R29">
        <v>0.15750979276365881</v>
      </c>
      <c r="S29">
        <v>7.2696992552286094E-2</v>
      </c>
      <c r="T29">
        <v>0.15750979276365221</v>
      </c>
    </row>
    <row r="30" spans="1:20" x14ac:dyDescent="0.25">
      <c r="I30">
        <v>0.15750979276365792</v>
      </c>
      <c r="J30">
        <v>0.15750979276365221</v>
      </c>
      <c r="K30">
        <v>0.15750979276365881</v>
      </c>
      <c r="L30">
        <v>0.15750979276365221</v>
      </c>
      <c r="M30">
        <v>0.15750979276366625</v>
      </c>
      <c r="N30">
        <v>0.15750979276365973</v>
      </c>
      <c r="O30">
        <v>0.15750979276365973</v>
      </c>
      <c r="P30">
        <v>0.15750979276365748</v>
      </c>
      <c r="Q30">
        <v>0.15750979276365973</v>
      </c>
      <c r="R30">
        <v>0.15750979276365881</v>
      </c>
      <c r="S30">
        <v>6.4912658906882054E-2</v>
      </c>
      <c r="T30">
        <v>0.15750979276366059</v>
      </c>
    </row>
    <row r="31" spans="1:20" x14ac:dyDescent="0.25">
      <c r="J31">
        <v>0.15750979276366059</v>
      </c>
      <c r="K31">
        <v>0.15750979276365881</v>
      </c>
      <c r="L31">
        <v>0.15750979276365135</v>
      </c>
      <c r="M31">
        <v>0.15750979276364957</v>
      </c>
      <c r="N31">
        <v>0.15750979276365973</v>
      </c>
      <c r="O31">
        <v>0.15750979276365881</v>
      </c>
      <c r="P31">
        <v>0.15750979276364913</v>
      </c>
      <c r="Q31">
        <v>0.15750979276365973</v>
      </c>
      <c r="R31">
        <v>0.15750979276365881</v>
      </c>
      <c r="S31">
        <v>6.1639589709592844E-2</v>
      </c>
      <c r="T31">
        <v>0.15750979276366059</v>
      </c>
    </row>
    <row r="32" spans="1:20" x14ac:dyDescent="0.25">
      <c r="K32">
        <v>0.15750979276365881</v>
      </c>
      <c r="L32">
        <v>0.15750979276365973</v>
      </c>
      <c r="M32">
        <v>0.15750979276365792</v>
      </c>
      <c r="N32">
        <v>0.15750979276365135</v>
      </c>
      <c r="O32">
        <v>0.15750979276365881</v>
      </c>
      <c r="P32">
        <v>0.15750979276365792</v>
      </c>
      <c r="Q32">
        <v>0.15750979276365973</v>
      </c>
      <c r="R32">
        <v>0.15750979276366717</v>
      </c>
      <c r="S32">
        <v>0.49463022952288244</v>
      </c>
      <c r="T32">
        <v>0.15750979276366059</v>
      </c>
    </row>
    <row r="33" spans="12:20" x14ac:dyDescent="0.25">
      <c r="L33">
        <v>0.15750979276365973</v>
      </c>
      <c r="M33">
        <v>0.15750979276366581</v>
      </c>
      <c r="N33">
        <v>0.15750979276365973</v>
      </c>
      <c r="O33">
        <v>0.15750979276365881</v>
      </c>
      <c r="P33">
        <v>0.15750979276365792</v>
      </c>
      <c r="Q33">
        <v>0.15750979276365135</v>
      </c>
      <c r="R33">
        <v>0.15750979276366717</v>
      </c>
      <c r="S33">
        <v>0.40651570269309822</v>
      </c>
      <c r="T33">
        <v>0.15750979276366059</v>
      </c>
    </row>
    <row r="34" spans="12:20" x14ac:dyDescent="0.25">
      <c r="M34">
        <v>0.15750979276365792</v>
      </c>
      <c r="N34">
        <v>0.15750979276365973</v>
      </c>
      <c r="O34">
        <v>0.15750979276365881</v>
      </c>
      <c r="P34">
        <v>0.15750979276365792</v>
      </c>
      <c r="Q34">
        <v>0.15750979276365973</v>
      </c>
      <c r="R34">
        <v>0.15750979276365881</v>
      </c>
      <c r="S34">
        <v>0.3212693921507232</v>
      </c>
      <c r="T34">
        <v>0.15750979276365221</v>
      </c>
    </row>
    <row r="35" spans="12:20" x14ac:dyDescent="0.25">
      <c r="N35">
        <v>0.15750979276364388</v>
      </c>
      <c r="O35">
        <v>0.15750979276365881</v>
      </c>
      <c r="P35">
        <v>0.15750979276364957</v>
      </c>
      <c r="Q35">
        <v>0.15750979276365135</v>
      </c>
      <c r="R35">
        <v>0.15750979276365881</v>
      </c>
      <c r="S35">
        <v>0.24257166145397913</v>
      </c>
      <c r="T35">
        <v>0.15750979276365221</v>
      </c>
    </row>
    <row r="36" spans="12:20" x14ac:dyDescent="0.25">
      <c r="O36">
        <v>0.15750979276365881</v>
      </c>
      <c r="P36">
        <v>0.15750979276364119</v>
      </c>
      <c r="Q36">
        <v>0.15750979276365973</v>
      </c>
      <c r="R36">
        <v>0.15750979276367552</v>
      </c>
      <c r="S36">
        <v>0.17537743896561298</v>
      </c>
      <c r="T36">
        <v>0.15750979276366806</v>
      </c>
    </row>
    <row r="37" spans="12:20" x14ac:dyDescent="0.25">
      <c r="P37">
        <v>0.15750979276366542</v>
      </c>
      <c r="Q37">
        <v>0.15750979276365135</v>
      </c>
      <c r="R37">
        <v>0.15750979276365973</v>
      </c>
      <c r="S37">
        <v>0.12627770396261298</v>
      </c>
      <c r="T37">
        <v>0.15750979276364388</v>
      </c>
    </row>
    <row r="38" spans="12:20" x14ac:dyDescent="0.25">
      <c r="Q38">
        <v>0.15750979276365881</v>
      </c>
      <c r="R38">
        <v>0.15750979276365881</v>
      </c>
      <c r="S38">
        <v>0.10395663288576651</v>
      </c>
      <c r="T38">
        <v>0.15750979276365973</v>
      </c>
    </row>
    <row r="39" spans="12:20" x14ac:dyDescent="0.25">
      <c r="R39">
        <v>0.15750979276365881</v>
      </c>
      <c r="S39">
        <v>0.45395805428105729</v>
      </c>
      <c r="T39">
        <v>0.15750979276366059</v>
      </c>
    </row>
    <row r="40" spans="12:20" x14ac:dyDescent="0.25">
      <c r="S40">
        <v>0.28727836185316902</v>
      </c>
      <c r="T40">
        <v>0.15750979276366059</v>
      </c>
    </row>
    <row r="41" spans="12:20" x14ac:dyDescent="0.25">
      <c r="T41">
        <v>0.15750979276366059</v>
      </c>
    </row>
    <row r="42" spans="12:20" x14ac:dyDescent="0.25">
      <c r="T42">
        <v>0.15750979276366892</v>
      </c>
    </row>
    <row r="43" spans="12:20" x14ac:dyDescent="0.25">
      <c r="T43">
        <v>0.15750979276365312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3A2D3-4B62-4B64-B8F1-22FBAD479326}">
  <dimension ref="A1"/>
  <sheetViews>
    <sheetView topLeftCell="AG1" zoomScale="83" workbookViewId="0">
      <selection activeCell="AS195" sqref="AS195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5CC06-127A-4BDF-8DD0-9551D4655868}">
  <sheetPr codeName="Sheet3"/>
  <dimension ref="A5:C9"/>
  <sheetViews>
    <sheetView workbookViewId="0">
      <selection activeCell="N6" sqref="N6"/>
    </sheetView>
  </sheetViews>
  <sheetFormatPr baseColWidth="10" defaultColWidth="9" defaultRowHeight="15" x14ac:dyDescent="0.25"/>
  <cols>
    <col min="1" max="3" width="6.28515625" style="20" bestFit="1" customWidth="1"/>
    <col min="4" max="16384" width="9" style="20"/>
  </cols>
  <sheetData>
    <row r="5" spans="1:3" x14ac:dyDescent="0.25">
      <c r="C5" s="20">
        <v>173.30761459203785</v>
      </c>
    </row>
    <row r="6" spans="1:3" x14ac:dyDescent="0.25">
      <c r="B6" s="20">
        <v>131.64634996536662</v>
      </c>
      <c r="C6" s="20">
        <v>133.63592975881676</v>
      </c>
    </row>
    <row r="7" spans="1:3" x14ac:dyDescent="0.25">
      <c r="A7" s="20">
        <v>100</v>
      </c>
      <c r="B7" s="20">
        <v>101.51130646157189</v>
      </c>
      <c r="C7" s="20">
        <v>103.04545339535167</v>
      </c>
    </row>
    <row r="8" spans="1:3" x14ac:dyDescent="0.25">
      <c r="B8" s="20">
        <v>78.274447732474741</v>
      </c>
      <c r="C8" s="20">
        <v>79.457414518815341</v>
      </c>
    </row>
    <row r="9" spans="1:3" x14ac:dyDescent="0.25">
      <c r="C9" s="20">
        <v>61.2688916782392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Pricer</vt:lpstr>
      <vt:lpstr>Arbre</vt:lpstr>
      <vt:lpstr>Proba</vt:lpstr>
      <vt:lpstr>VBA_Arbre</vt:lpstr>
      <vt:lpstr>Divamount</vt:lpstr>
      <vt:lpstr>divDate</vt:lpstr>
      <vt:lpstr>EU_US</vt:lpstr>
      <vt:lpstr>IntRate</vt:lpstr>
      <vt:lpstr>Mat</vt:lpstr>
      <vt:lpstr>OptType</vt:lpstr>
      <vt:lpstr>Pr_Date</vt:lpstr>
      <vt:lpstr>St</vt:lpstr>
      <vt:lpstr>Steps</vt:lpstr>
      <vt:lpstr>Strike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 Fradi</dc:creator>
  <cp:lastModifiedBy>Milos Gajic</cp:lastModifiedBy>
  <dcterms:created xsi:type="dcterms:W3CDTF">2025-09-16T13:34:22Z</dcterms:created>
  <dcterms:modified xsi:type="dcterms:W3CDTF">2025-10-14T10:55:27Z</dcterms:modified>
</cp:coreProperties>
</file>